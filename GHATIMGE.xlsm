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59A6B212-608E-425D-A061-A8EE516A0C0F}" xr6:coauthVersionLast="47" xr6:coauthVersionMax="47" xr10:uidLastSave="{00000000-0000-0000-0000-000000000000}"/>
  <bookViews>
    <workbookView xWindow="-120" yWindow="-120" windowWidth="29040" windowHeight="15840" activeTab="4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3" r:id="rId9"/>
    <pivotCache cacheId="3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<sst xmlns="http://schemas.openxmlformats.org/spreadsheetml/2006/main" count="196" uniqueCount="133">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</sst>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10.520588078703" createdVersion="6" refreshedVersion="8" minRefreshableVersion="3" recordCount="81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0" maxValue="0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57">
        <s v="BASE"/>
        <m/>
        <s v="NOPAMSREF" u="1"/>
        <s v="LPAMSFC" u="1"/>
        <s v="NZ-20NELD" u="1"/>
        <s v="CPAMSREPROGHG" u="1"/>
        <s v="NZ-20NE" u="1"/>
        <s v="NZ-10IPWE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Z-10NE_8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CP20NEWH" u="1"/>
        <s v="NZ35S3IRGIIP" u="1"/>
        <e v="#REF!" u="1"/>
        <s v="IRPRE-01P" u="1"/>
        <s v="CO2ACAP280" u="1"/>
        <s v="NOPAMSCAPFC" u="1"/>
        <s v="NOPAMSFGDAIL" u="1"/>
        <s v="NOPAMS_NDP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-20WE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IRP-25P" u="1"/>
        <s v="HPAMSREPROG" u="1"/>
        <s v="NOPAMCAPIRPN" u="1"/>
        <s v="NZ-10WE" u="1"/>
        <s v="HPAMSIRP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REF-FCOC" u="1"/>
        <s v="NZ35IRIP" u="1"/>
        <s v="NOPAMSFGDB1" u="1"/>
        <s v="NOPAMS_EXP3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10.602168865742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0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0"/>
    <x v="0"/>
    <s v="yes tested"/>
    <s v="base"/>
    <s v="BASE"/>
    <n v="0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16">
    <pivotField showAll="0"/>
    <pivotField showAll="0"/>
    <pivotField showAll="0"/>
    <pivotField showAll="0"/>
    <pivotField axis="axisRow" showAll="0">
      <items count="158">
        <item m="1" x="95"/>
        <item m="1" x="69"/>
        <item m="1" x="60"/>
        <item x="1"/>
        <item m="1" x="68"/>
        <item m="1" x="23"/>
        <item m="1" x="83"/>
        <item m="1" x="100"/>
        <item m="1" x="63"/>
        <item m="1" x="70"/>
        <item m="1" x="64"/>
        <item m="1" x="46"/>
        <item m="1" x="5"/>
        <item m="1" x="80"/>
        <item m="1" x="3"/>
        <item m="1" x="135"/>
        <item m="1" x="38"/>
        <item m="1" x="117"/>
        <item m="1" x="129"/>
        <item m="1" x="47"/>
        <item m="1" x="40"/>
        <item m="1" x="123"/>
        <item m="1" x="89"/>
        <item m="1" x="90"/>
        <item m="1" x="119"/>
        <item m="1" x="56"/>
        <item m="1" x="114"/>
        <item m="1" x="14"/>
        <item m="1" x="29"/>
        <item m="1" x="153"/>
        <item m="1" x="97"/>
        <item m="1" x="130"/>
        <item m="1" x="73"/>
        <item m="1" x="132"/>
        <item m="1" x="142"/>
        <item m="1" x="78"/>
        <item m="1" x="98"/>
        <item m="1" x="94"/>
        <item m="1" x="128"/>
        <item m="1" x="126"/>
        <item m="1" x="34"/>
        <item m="1" x="145"/>
        <item m="1" x="92"/>
        <item m="1" x="111"/>
        <item m="1" x="125"/>
        <item m="1" x="149"/>
        <item m="1" x="156"/>
        <item m="1" x="75"/>
        <item m="1" x="62"/>
        <item m="1" x="61"/>
        <item m="1" x="101"/>
        <item m="1" x="66"/>
        <item m="1" x="108"/>
        <item m="1" x="26"/>
        <item m="1" x="79"/>
        <item m="1" x="107"/>
        <item m="1" x="127"/>
        <item m="1" x="77"/>
        <item m="1" x="71"/>
        <item m="1" x="20"/>
        <item m="1" x="134"/>
        <item m="1" x="36"/>
        <item m="1" x="52"/>
        <item m="1" x="86"/>
        <item m="1" x="96"/>
        <item m="1" x="53"/>
        <item m="1" x="12"/>
        <item m="1" x="91"/>
        <item m="1" x="99"/>
        <item m="1" x="42"/>
        <item m="1" x="116"/>
        <item m="1" x="131"/>
        <item m="1" x="81"/>
        <item m="1" x="45"/>
        <item m="1" x="54"/>
        <item m="1" x="35"/>
        <item m="1" x="103"/>
        <item m="1" x="9"/>
        <item m="1" x="110"/>
        <item m="1" x="124"/>
        <item m="1" x="143"/>
        <item m="1" x="120"/>
        <item m="1" x="137"/>
        <item m="1" x="154"/>
        <item m="1" x="55"/>
        <item m="1" x="115"/>
        <item m="1" x="151"/>
        <item m="1" x="21"/>
        <item m="1" x="31"/>
        <item m="1" x="58"/>
        <item m="1" x="93"/>
        <item m="1" x="15"/>
        <item m="1" x="19"/>
        <item m="1" x="2"/>
        <item m="1" x="8"/>
        <item m="1" x="136"/>
        <item m="1" x="65"/>
        <item m="1" x="133"/>
        <item m="1" x="32"/>
        <item m="1" x="138"/>
        <item m="1" x="106"/>
        <item m="1" x="84"/>
        <item m="1" x="44"/>
        <item m="1" x="105"/>
        <item m="1" x="4"/>
        <item m="1" x="122"/>
        <item m="1" x="67"/>
        <item m="1" x="6"/>
        <item m="1" x="104"/>
        <item m="1" x="11"/>
        <item m="1" x="28"/>
        <item m="1" x="74"/>
        <item m="1" x="48"/>
        <item m="1" x="39"/>
        <item m="1" x="30"/>
        <item m="1" x="150"/>
        <item m="1" x="155"/>
        <item m="1" x="144"/>
        <item m="1" x="148"/>
        <item m="1" x="76"/>
        <item m="1" x="22"/>
        <item m="1" x="13"/>
        <item m="1" x="88"/>
        <item m="1" x="146"/>
        <item m="1" x="59"/>
        <item m="1" x="118"/>
        <item m="1" x="113"/>
        <item m="1" x="112"/>
        <item m="1" x="17"/>
        <item m="1" x="102"/>
        <item m="1" x="49"/>
        <item m="1" x="87"/>
        <item m="1" x="27"/>
        <item m="1" x="7"/>
        <item m="1" x="139"/>
        <item m="1" x="141"/>
        <item m="1" x="57"/>
        <item m="1" x="25"/>
        <item m="1" x="41"/>
        <item m="1" x="37"/>
        <item m="1" x="33"/>
        <item m="1" x="140"/>
        <item m="1" x="10"/>
        <item m="1" x="147"/>
        <item m="1" x="72"/>
        <item m="1" x="109"/>
        <item m="1" x="50"/>
        <item m="1" x="43"/>
        <item m="1" x="51"/>
        <item m="1" x="24"/>
        <item m="1" x="152"/>
        <item m="1" x="85"/>
        <item m="1" x="82"/>
        <item m="1" x="16"/>
        <item m="1" x="121"/>
        <item m="1" x="18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 v="3"/>
    </i>
    <i>
      <x v="15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">
    <i>
      <x/>
      <x v="2"/>
    </i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8" firstHeaderRow="0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">
    <i>
      <x/>
    </i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8" firstHeaderRow="1" firstDataRow="1" firstDataCol="1"/>
  <pivotFields count="16">
    <pivotField showAll="0"/>
    <pivotField axis="axisRow" showAll="0">
      <items count="4">
        <item m="1"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 v="1"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8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eMOD (TIMES) Case" axis="axisRow" compact="0" outline="0" showAll="0" defaultSubtotal="0">
      <items count="157">
        <item m="1" x="95"/>
        <item m="1" x="69"/>
        <item m="1" x="60"/>
        <item x="1"/>
        <item m="1" x="68"/>
        <item m="1" x="23"/>
        <item m="1" x="83"/>
        <item m="1" x="100"/>
        <item m="1" x="63"/>
        <item m="1" x="70"/>
        <item m="1" x="64"/>
        <item m="1" x="46"/>
        <item m="1" x="5"/>
        <item m="1" x="80"/>
        <item m="1" x="3"/>
        <item m="1" x="135"/>
        <item m="1" x="38"/>
        <item m="1" x="117"/>
        <item m="1" x="129"/>
        <item m="1" x="47"/>
        <item m="1" x="40"/>
        <item m="1" x="123"/>
        <item m="1" x="89"/>
        <item m="1" x="90"/>
        <item m="1" x="119"/>
        <item m="1" x="56"/>
        <item m="1" x="114"/>
        <item m="1" x="14"/>
        <item m="1" x="29"/>
        <item m="1" x="153"/>
        <item m="1" x="97"/>
        <item m="1" x="130"/>
        <item m="1" x="73"/>
        <item m="1" x="132"/>
        <item m="1" x="142"/>
        <item m="1" x="78"/>
        <item m="1" x="98"/>
        <item m="1" x="94"/>
        <item m="1" x="128"/>
        <item m="1" x="126"/>
        <item m="1" x="34"/>
        <item m="1" x="145"/>
        <item m="1" x="92"/>
        <item m="1" x="111"/>
        <item m="1" x="125"/>
        <item m="1" x="149"/>
        <item m="1" x="156"/>
        <item m="1" x="75"/>
        <item m="1" x="62"/>
        <item m="1" x="61"/>
        <item m="1" x="101"/>
        <item m="1" x="66"/>
        <item m="1" x="108"/>
        <item m="1" x="26"/>
        <item m="1" x="79"/>
        <item m="1" x="107"/>
        <item m="1" x="127"/>
        <item m="1" x="77"/>
        <item m="1" x="71"/>
        <item m="1" x="20"/>
        <item m="1" x="134"/>
        <item m="1" x="36"/>
        <item m="1" x="52"/>
        <item m="1" x="86"/>
        <item m="1" x="96"/>
        <item m="1" x="53"/>
        <item m="1" x="12"/>
        <item m="1" x="91"/>
        <item m="1" x="99"/>
        <item m="1" x="42"/>
        <item m="1" x="116"/>
        <item m="1" x="131"/>
        <item m="1" x="81"/>
        <item m="1" x="45"/>
        <item m="1" x="54"/>
        <item m="1" x="35"/>
        <item m="1" x="103"/>
        <item m="1" x="9"/>
        <item m="1" x="110"/>
        <item m="1" x="124"/>
        <item m="1" x="143"/>
        <item m="1" x="120"/>
        <item m="1" x="137"/>
        <item m="1" x="154"/>
        <item m="1" x="55"/>
        <item m="1" x="115"/>
        <item m="1" x="151"/>
        <item m="1" x="21"/>
        <item m="1" x="31"/>
        <item m="1" x="58"/>
        <item m="1" x="93"/>
        <item m="1" x="15"/>
        <item m="1" x="19"/>
        <item m="1" x="2"/>
        <item m="1" x="8"/>
        <item m="1" x="136"/>
        <item m="1" x="65"/>
        <item m="1" x="133"/>
        <item m="1" x="32"/>
        <item m="1" x="138"/>
        <item m="1" x="106"/>
        <item m="1" x="84"/>
        <item m="1" x="44"/>
        <item m="1" x="105"/>
        <item m="1" x="4"/>
        <item m="1" x="122"/>
        <item m="1" x="67"/>
        <item m="1" x="6"/>
        <item m="1" x="104"/>
        <item m="1" x="11"/>
        <item m="1" x="28"/>
        <item m="1" x="74"/>
        <item m="1" x="48"/>
        <item m="1" x="39"/>
        <item m="1" x="30"/>
        <item m="1" x="150"/>
        <item m="1" x="155"/>
        <item m="1" x="144"/>
        <item m="1" x="148"/>
        <item m="1" x="76"/>
        <item m="1" x="22"/>
        <item m="1" x="13"/>
        <item m="1" x="88"/>
        <item m="1" x="146"/>
        <item m="1" x="59"/>
        <item m="1" x="118"/>
        <item m="1" x="113"/>
        <item m="1" x="112"/>
        <item m="1" x="17"/>
        <item m="1" x="102"/>
        <item m="1" x="49"/>
        <item m="1" x="87"/>
        <item m="1" x="27"/>
        <item m="1" x="7"/>
        <item m="1" x="139"/>
        <item m="1" x="141"/>
        <item m="1" x="57"/>
        <item m="1" x="25"/>
        <item m="1" x="41"/>
        <item m="1" x="37"/>
        <item m="1" x="33"/>
        <item m="1" x="140"/>
        <item m="1" x="10"/>
        <item m="1" x="147"/>
        <item m="1" x="72"/>
        <item m="1" x="109"/>
        <item m="1" x="50"/>
        <item m="1" x="43"/>
        <item m="1" x="51"/>
        <item m="1" x="24"/>
        <item m="1" x="152"/>
        <item m="1" x="85"/>
        <item m="1" x="82"/>
        <item m="1" x="16"/>
        <item m="1" x="121"/>
        <item m="1" x="18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">
    <i>
      <x/>
      <x v="3"/>
    </i>
    <i>
      <x v="2"/>
      <x v="15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3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8" firstHeaderRow="1" firstDataRow="1" firstDataCol="1"/>
  <pivotFields count="16">
    <pivotField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33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8" firstHeaderRow="1" firstDataRow="1" firstDataCol="1"/>
  <pivotFields count="16">
    <pivotField dataField="1" showAll="0"/>
    <pivotField axis="axisRow" showAll="0">
      <items count="4">
        <item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">
    <i>
      <x/>
    </i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B12" sqref="B1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127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128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85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86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107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89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I1" workbookViewId="0">
      <selection activeCell="E19" sqref="E19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129</v>
      </c>
      <c r="I5" s="1" t="s">
        <v>79</v>
      </c>
      <c r="K5" s="1" t="s">
        <v>81</v>
      </c>
      <c r="M5" s="1" t="s">
        <v>82</v>
      </c>
      <c r="O5" s="1" t="s">
        <v>130</v>
      </c>
      <c r="Q5" s="1" t="s">
        <v>61</v>
      </c>
      <c r="S5" s="1" t="s">
        <v>62</v>
      </c>
      <c r="AA5" s="1" t="s">
        <v>87</v>
      </c>
      <c r="AD5" s="1" t="s">
        <v>51</v>
      </c>
      <c r="AE5" s="1" t="s">
        <v>54</v>
      </c>
      <c r="AF5" s="1" t="s">
        <v>131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83</v>
      </c>
      <c r="M6" s="12" t="s">
        <v>32</v>
      </c>
      <c r="N6" t="s">
        <v>84</v>
      </c>
      <c r="O6" s="12" t="s">
        <v>34</v>
      </c>
      <c r="P6" s="12" t="s">
        <v>132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88</v>
      </c>
      <c r="AC6" s="12"/>
      <c r="AD6" s="16" t="s">
        <v>52</v>
      </c>
      <c r="AE6" s="16" t="s">
        <v>53</v>
      </c>
      <c r="AF6" s="7" t="s">
        <v>107</v>
      </c>
      <c r="AH6" s="7"/>
    </row>
    <row r="7" spans="1:39">
      <c r="A7" s="13" t="s">
        <v>77</v>
      </c>
      <c r="B7" s="13" t="s">
        <v>77</v>
      </c>
      <c r="C7" s="12" t="s">
        <v>29</v>
      </c>
      <c r="D7" s="13" t="s">
        <v>29</v>
      </c>
      <c r="E7" s="13" t="s">
        <v>77</v>
      </c>
      <c r="F7" s="3">
        <v>0</v>
      </c>
      <c r="G7" s="13" t="s">
        <v>77</v>
      </c>
      <c r="H7" s="3"/>
      <c r="I7" s="13" t="s">
        <v>77</v>
      </c>
      <c r="J7" s="3"/>
      <c r="K7" s="13" t="s">
        <v>77</v>
      </c>
      <c r="L7" s="3"/>
      <c r="M7" s="13" t="s">
        <v>77</v>
      </c>
      <c r="N7" s="3"/>
      <c r="O7" s="7" t="s">
        <v>77</v>
      </c>
      <c r="P7" s="7" t="s">
        <v>77</v>
      </c>
      <c r="Q7" s="7" t="s">
        <v>77</v>
      </c>
      <c r="R7" s="7" t="s">
        <v>77</v>
      </c>
      <c r="S7" s="13" t="s">
        <v>77</v>
      </c>
      <c r="T7" s="3"/>
      <c r="U7" s="3"/>
      <c r="V7" s="3"/>
      <c r="W7" s="3"/>
      <c r="X7" s="3"/>
      <c r="Y7" s="3"/>
      <c r="Z7" s="3"/>
      <c r="AA7" s="13" t="s">
        <v>77</v>
      </c>
      <c r="AB7" s="3"/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A8" s="13" t="s">
        <v>108</v>
      </c>
      <c r="B8" s="13" t="s">
        <v>110</v>
      </c>
      <c r="C8" s="13" t="s">
        <v>30</v>
      </c>
      <c r="D8" s="13" t="s">
        <v>77</v>
      </c>
      <c r="E8" s="13" t="s">
        <v>108</v>
      </c>
      <c r="F8" s="3">
        <v>0</v>
      </c>
      <c r="G8" s="13" t="s">
        <v>108</v>
      </c>
      <c r="H8" s="3">
        <v>0</v>
      </c>
      <c r="I8" s="13" t="s">
        <v>108</v>
      </c>
      <c r="J8" s="3">
        <v>1</v>
      </c>
      <c r="K8" s="13" t="s">
        <v>108</v>
      </c>
      <c r="L8" s="3">
        <v>0</v>
      </c>
      <c r="M8" s="13" t="s">
        <v>108</v>
      </c>
      <c r="N8" s="3">
        <v>0</v>
      </c>
      <c r="O8" s="7" t="s">
        <v>108</v>
      </c>
      <c r="P8" s="7" t="s">
        <v>110</v>
      </c>
      <c r="Q8" s="7" t="s">
        <v>108</v>
      </c>
      <c r="R8" s="7" t="s">
        <v>29</v>
      </c>
      <c r="S8" s="13" t="s">
        <v>108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108</v>
      </c>
      <c r="AB8" s="3">
        <v>100</v>
      </c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E9" sqref="E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80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98</v>
      </c>
      <c r="G5" s="8" t="s">
        <v>58</v>
      </c>
      <c r="H5" s="10"/>
      <c r="I5" s="10"/>
      <c r="J5" s="18" t="s">
        <v>103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106</v>
      </c>
      <c r="U5" s="7">
        <v>100</v>
      </c>
      <c r="AZ5" t="s">
        <v>90</v>
      </c>
    </row>
    <row r="6" spans="1:60">
      <c r="A6" s="5">
        <f>SUM(A10:A63)</f>
        <v>0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104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4" t="s">
        <v>26</v>
      </c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105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102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109</v>
      </c>
      <c r="D9" s="2" t="s">
        <v>28</v>
      </c>
      <c r="E9" s="2" t="s">
        <v>132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99</v>
      </c>
      <c r="AZ9" t="s">
        <v>91</v>
      </c>
      <c r="BA9" t="s">
        <v>92</v>
      </c>
      <c r="BB9" t="s">
        <v>93</v>
      </c>
      <c r="BC9" t="s">
        <v>94</v>
      </c>
      <c r="BD9" t="s">
        <v>95</v>
      </c>
      <c r="BE9" t="s">
        <v>96</v>
      </c>
      <c r="BF9" t="s">
        <v>97</v>
      </c>
      <c r="BG9" t="s">
        <v>100</v>
      </c>
      <c r="BH9" t="s">
        <v>101</v>
      </c>
    </row>
    <row r="10" spans="1:60" s="7" customFormat="1">
      <c r="A10" s="22">
        <v>0</v>
      </c>
      <c r="B10" s="7" t="s">
        <v>108</v>
      </c>
      <c r="C10" s="7" t="s">
        <v>78</v>
      </c>
      <c r="D10" s="7" t="s">
        <v>29</v>
      </c>
      <c r="E10" s="7" t="s">
        <v>110</v>
      </c>
      <c r="F10" s="7">
        <v>0</v>
      </c>
      <c r="G10" s="7">
        <v>1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0"/>
  <sheetViews>
    <sheetView tabSelected="1" topLeftCell="D1" workbookViewId="0">
      <selection activeCell="E19" sqref="E19"/>
    </sheetView>
  </sheetViews>
  <sheetFormatPr defaultRowHeight="15"/>
  <cols>
    <col min="3" max="3" width="68.140625" bestFit="1" customWidth="1"/>
    <col min="4" max="4" width="9.85546875" style="7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"/>
      <c r="E1" s="2"/>
    </row>
    <row r="2" spans="3:9" s="7" customFormat="1">
      <c r="C2" s="2"/>
      <c r="D2" s="2"/>
      <c r="E2" s="7" t="s">
        <v>122</v>
      </c>
    </row>
    <row r="3" spans="3:9" s="7" customFormat="1">
      <c r="D3" s="7">
        <v>1</v>
      </c>
      <c r="E3" s="7" t="s">
        <v>112</v>
      </c>
    </row>
    <row r="4" spans="3:9" s="7" customFormat="1">
      <c r="D4" s="7">
        <v>1</v>
      </c>
      <c r="E4" s="7" t="s">
        <v>114</v>
      </c>
      <c r="I4" s="2"/>
    </row>
    <row r="5" spans="3:9" s="7" customFormat="1">
      <c r="I5"/>
    </row>
    <row r="6" spans="3:9" s="7" customFormat="1">
      <c r="D6" s="7">
        <v>1</v>
      </c>
      <c r="E6" s="7" t="s">
        <v>116</v>
      </c>
      <c r="I6"/>
    </row>
    <row r="7" spans="3:9" s="7" customFormat="1">
      <c r="D7" s="7">
        <v>1</v>
      </c>
      <c r="E7" s="7" t="s">
        <v>115</v>
      </c>
      <c r="I7"/>
    </row>
    <row r="8" spans="3:9">
      <c r="C8" s="2"/>
      <c r="D8" s="2">
        <v>1</v>
      </c>
      <c r="E8" s="7" t="s">
        <v>117</v>
      </c>
    </row>
    <row r="9" spans="3:9">
      <c r="D9" s="7">
        <v>1</v>
      </c>
      <c r="E9" s="7" t="s">
        <v>118</v>
      </c>
    </row>
    <row r="10" spans="3:9">
      <c r="C10" s="2"/>
      <c r="D10" s="2">
        <v>1</v>
      </c>
      <c r="E10" t="s">
        <v>119</v>
      </c>
    </row>
    <row r="11" spans="3:9">
      <c r="D11" s="7">
        <v>1</v>
      </c>
      <c r="E11" t="s">
        <v>120</v>
      </c>
    </row>
    <row r="12" spans="3:9">
      <c r="D12" s="2">
        <v>1</v>
      </c>
      <c r="E12" t="s">
        <v>121</v>
      </c>
    </row>
    <row r="13" spans="3:9">
      <c r="C13" s="2"/>
      <c r="D13" s="2"/>
    </row>
    <row r="14" spans="3:9">
      <c r="D14" s="2">
        <v>1</v>
      </c>
      <c r="E14" t="s">
        <v>123</v>
      </c>
    </row>
    <row r="17" spans="3:9">
      <c r="H17" s="7"/>
    </row>
    <row r="18" spans="3:9">
      <c r="E18" t="s">
        <v>113</v>
      </c>
      <c r="H18" s="7"/>
    </row>
    <row r="19" spans="3:9">
      <c r="D19" s="7">
        <v>1</v>
      </c>
      <c r="E19" s="7" t="s">
        <v>111</v>
      </c>
    </row>
    <row r="20" spans="3:9">
      <c r="D20" s="7">
        <v>1</v>
      </c>
      <c r="E20" t="s">
        <v>124</v>
      </c>
    </row>
    <row r="21" spans="3:9">
      <c r="E21" s="7" t="s">
        <v>125</v>
      </c>
    </row>
    <row r="22" spans="3:9">
      <c r="C22" s="2"/>
      <c r="D22" s="2"/>
      <c r="E22" s="7" t="s">
        <v>126</v>
      </c>
    </row>
    <row r="25" spans="3:9">
      <c r="I25" s="15"/>
    </row>
    <row r="28" spans="3:9">
      <c r="C28" s="2"/>
      <c r="D28" s="2"/>
    </row>
    <row r="31" spans="3:9" s="7" customFormat="1">
      <c r="I31"/>
    </row>
    <row r="32" spans="3:9" s="7" customFormat="1">
      <c r="I32"/>
    </row>
    <row r="33" spans="3:4">
      <c r="C33" s="2"/>
      <c r="D33" s="2"/>
    </row>
    <row r="38" spans="3:4">
      <c r="C38" s="2"/>
      <c r="D38" s="2"/>
    </row>
    <row r="43" spans="3:4">
      <c r="C43" s="2"/>
      <c r="D43" s="2"/>
    </row>
    <row r="49" spans="3:9">
      <c r="C49" s="2"/>
      <c r="D49" s="2"/>
    </row>
    <row r="50" spans="3:9">
      <c r="C50" s="7"/>
      <c r="I50" s="2"/>
    </row>
    <row r="51" spans="3:9">
      <c r="C51" s="7"/>
    </row>
    <row r="52" spans="3:9">
      <c r="C52" s="7"/>
    </row>
    <row r="55" spans="3:9">
      <c r="C55" s="2"/>
      <c r="D55" s="2"/>
    </row>
    <row r="56" spans="3:9">
      <c r="C56" s="7"/>
    </row>
    <row r="57" spans="3:9">
      <c r="C57" s="7"/>
    </row>
    <row r="58" spans="3:9">
      <c r="C58" s="7"/>
    </row>
    <row r="61" spans="3:9">
      <c r="C61" s="2"/>
      <c r="D61" s="2"/>
    </row>
    <row r="66" spans="3:9">
      <c r="C66" s="2"/>
      <c r="D66" s="2"/>
    </row>
    <row r="70" spans="3:9">
      <c r="I70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2022-09-06T12:27:21Z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