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4A3E69A0-CA68-426B-BE59-297DBD8C0391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Scenarios!$A$9:$BH$43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76" r:id="rId9"/>
    <pivotCache cacheId="27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10" i="5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tc={784CACC1-90BC-4351-B57D-234D5FCD47FD}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784CACC1-90BC-4351-B57D-234D5FCD47F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<sst xmlns="http://schemas.openxmlformats.org/spreadsheetml/2006/main" count="241" uniqueCount="146">
  <si>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</si>
  <si>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</si>
  <si>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</si>
  <si>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</si>
  <si>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</si>
  <si>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</si>
  <si>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</si>
  <si>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</si>
  <si>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</si>
  <si>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</si>
  <si>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</si>
  <si>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</si>
  <si>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</si>
  <si>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</si>
  <si>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</si>
  <si>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</si>
  <si>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</si>
  <si>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</si>
  <si>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</si>
  <si>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</si>
  <si>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</si>
  <si>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</si>
  <si>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</si>
  <si>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</si>
  <si>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</si>
  <si>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</si>
  <si>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</si>
  <si>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</si>
  <si>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</si>
  <si>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</si>
  <si>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</si>
  <si>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</si>
  <si>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</si>
  <si>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</si>
  <si>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</si>
  <si>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</si>
  <si>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</si>
  <si>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</si>
  <si>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</si>
  <si>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</si>
  <si>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</si>
  <si>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</si>
  <si>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</si>
  <si>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</si>
  <si>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</si>
  <si>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</si>
  <si>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</si>
  <si>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</si>
  <si>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</si>
  <si>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</si>
  <si>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</si>
  <si>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</si>
  <si>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</si>
  <si>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</si>
  <si>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</si>
  <si>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</si>
  <si>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</si>
  <si>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</si>
  <si>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</si>
  <si>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</si>
  <si>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</si>
  <si>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</si>
  <si>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</si>
  <si>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</si>
  <si>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</si>
  <si>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</si>
  <si>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</si>
  <si>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</si>
  <si>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</si>
  <si>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</si>
  <si>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</si>
  <si>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</si>
  <si>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</si>
  <si>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</si>
  <si>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</si>
  <si>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</si>
  <si>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</si>
  <si>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</si>
  <si>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</si>
  <si>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</si>
  <si>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</si>
  <si>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</si>
  <si>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</si>
  <si>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</si>
  <si>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</si>
  <si>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</si>
  <si>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</si>
  <si>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</si>
  <si>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</si>
  <si>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</si>
  <si>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</si>
  <si>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</si>
  <si>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</si>
  <si>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</si>
  <si>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</si>
  <si>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</si>
  <si>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</si>
  <si>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</si>
  <si>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</si>
  <si>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</si>
  <si>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</si>
  <si>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</si>
  <si>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</si>
  <si>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</si>
  <si>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</si>
  <si>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</si>
  <si>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</si>
  <si>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</si>
  <si>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</si>
  <si>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</si>
  <si>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</si>
  <si>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</si>
  <si>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</si>
  <si>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</si>
  <si>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</si>
  <si>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</si>
  <si>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</si>
  <si>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</si>
  <si>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</si>
  <si>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</si>
  <si>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</si>
  <si>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</si>
  <si>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</si>
  <si>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</si>
  <si>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</si>
  <si>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</si>
  <si>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</si>
  <si>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</si>
  <si>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</si>
  <si>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</si>
  <si>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</si>
  <si>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</si>
  <si>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</si>
  <si>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</si>
  <si>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</si>
  <si>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</si>
  <si>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</si>
  <si>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</si>
  <si>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</si>
  <si>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</si>
  <si>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</si>
  <si>
    <t>NDCL1</t>
  </si>
  <si>
    <t>NDCL2</t>
  </si>
  <si>
    <t>NDC_Ambitious</t>
  </si>
  <si>
    <t>NDC_Moderate</t>
  </si>
  <si>
    <t>(blank)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</si>
</sst>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1.711487384258" createdVersion="6" refreshedVersion="8" minRefreshableVersion="3" recordCount="49" xr:uid="{C0EB43E8-6CC6-4DE4-B7F1-02B09F7BA69A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4">
        <s v="BASE"/>
        <s v="NDCL2"/>
        <s v="NDCL1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71.711489814814" createdVersion="6" refreshedVersion="8" minRefreshableVersion="3" recordCount="49" xr:uid="{D229C3DF-142A-4D15-BB2C-2EA205AB0203}">
  <cacheSource type="worksheet">
    <worksheetSource ref="A9:P92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">
        <s v="Reference"/>
        <s v="NDC_Moderate"/>
        <s v="NDC_Ambitious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x v="0"/>
    <x v="0"/>
    <n v="1"/>
    <n v="1"/>
    <s v="No Pams"/>
    <n v="0"/>
    <n v="0"/>
    <n v="-1"/>
    <n v="-1"/>
    <n v="-1"/>
    <n v="1"/>
    <n v="-1"/>
    <n v="100"/>
  </r>
  <r>
    <n v="1"/>
    <x v="1"/>
    <s v="yes tested"/>
    <x v="0"/>
    <x v="1"/>
    <n v="1"/>
    <n v="1"/>
    <s v="No Pams"/>
    <n v="0"/>
    <n v="0"/>
    <n v="-1"/>
    <n v="-1"/>
    <n v="-1"/>
    <n v="1"/>
    <n v="-1"/>
    <n v="100"/>
  </r>
  <r>
    <n v="0"/>
    <x v="2"/>
    <s v="yes tested"/>
    <x v="0"/>
    <x v="2"/>
    <n v="1"/>
    <n v="1"/>
    <s v="No Pams"/>
    <n v="0"/>
    <n v="0"/>
    <n v="-1"/>
    <n v="-1"/>
    <n v="-1"/>
    <n v="1"/>
    <n v="-1"/>
    <n v="100"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  <r>
    <m/>
    <x v="3"/>
    <m/>
    <x v="1"/>
    <x v="3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0"/>
    <x v="0"/>
    <s v="yes tested"/>
    <s v="base"/>
    <s v="BASE"/>
    <n v="1"/>
    <n v="1"/>
    <s v="No Pams"/>
    <n v="0"/>
    <n v="0"/>
    <n v="-1"/>
    <n v="-1"/>
    <n v="-1"/>
    <n v="1"/>
    <n v="-1"/>
    <n v="100"/>
  </r>
  <r>
    <n v="1"/>
    <x v="1"/>
    <s v="yes tested"/>
    <s v="base"/>
    <s v="NDCL2"/>
    <n v="1"/>
    <n v="1"/>
    <s v="No Pams"/>
    <n v="0"/>
    <n v="0"/>
    <n v="-1"/>
    <n v="-1"/>
    <n v="-1"/>
    <n v="1"/>
    <n v="-1"/>
    <n v="100"/>
  </r>
  <r>
    <n v="0"/>
    <x v="2"/>
    <s v="yes tested"/>
    <s v="base"/>
    <s v="NDCL1"/>
    <n v="1"/>
    <n v="1"/>
    <s v="No Pams"/>
    <n v="0"/>
    <n v="0"/>
    <n v="-1"/>
    <n v="-1"/>
    <n v="-1"/>
    <n v="1"/>
    <n v="-1"/>
    <n v="100"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  <r>
    <m/>
    <x v="3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" firstHeaderRow="0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">
    <i>
      <x/>
      <x v="2"/>
    </i>
    <i>
      <x v="2"/>
      <x/>
    </i>
    <i>
      <x v="3"/>
      <x/>
    </i>
    <i>
      <x v="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10" firstHeaderRow="1" firstDataRow="1" firstDataCol="1"/>
  <pivotFields count="16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">
    <i>
      <x/>
    </i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">
        <item x="3"/>
        <item m="1" x="4"/>
        <item x="0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0"/>
        <item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">
    <i>
      <x/>
      <x v="1"/>
    </i>
    <i>
      <x v="2"/>
      <x/>
    </i>
    <i>
      <x v="3"/>
      <x v="2"/>
    </i>
    <i>
      <x v="4"/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7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" firstHeaderRow="1" firstDataRow="1" firstDataCol="1"/>
  <pivotFields count="16">
    <pivotField showAll="0"/>
    <pivotField axis="axisRow" showAll="0">
      <items count="6">
        <item m="1" x="4"/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>
      <x v="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7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" firstHeaderRow="1" firstDataRow="1" firstDataCol="1"/>
  <pivotFields count="16">
    <pivotField dataField="1"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7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" firstHeaderRow="1" firstDataRow="1" firstDataCol="1"/>
  <pivotFields count="16">
    <pivotField showAll="0"/>
    <pivotField axis="axisRow" showAll="0">
      <items count="6">
        <item x="3"/>
        <item m="1" x="4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/>
    </i>
    <i>
      <x v="2"/>
    </i>
    <i>
      <x v="3"/>
    </i>
    <i>
      <x v="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784CACC1-90BC-4351-B57D-234D5FCD47FD}">
    <text>Note that there is still a problem running with other cases here - still looking into it.</text>
  </threadedComment>
  <threadedComment ref="D12" dT="2020-08-07T12:32:29.60" personId="{8A307EF1-062C-4DD1-801F-D45833AE4B68}" id="{2E057A1D-61F2-468B-8278-F722F83FC647}">
    <text>Note that there is still a problem running with other cases here - still looking into it.</text>
  </threadedComment>
  <threadedComment ref="D43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topLeftCell="Q1" workbookViewId="0">
      <selection activeCell="AE10" sqref="AE10"/>
    </sheetView>
  </sheetViews>
  <sheetFormatPr defaultRowHeight="15"/>
  <cols>
    <col min="1" max="1" width="15.140625" bestFit="1" customWidth="1"/>
    <col min="2" max="2" width="13.140625" bestFit="1" customWidth="1"/>
    <col min="3" max="3" width="13.140625" customWidth="1"/>
    <col min="4" max="4" width="13.140625" bestFit="1" customWidth="1"/>
    <col min="5" max="5" width="15.140625" bestFit="1" customWidth="1"/>
    <col min="6" max="6" width="23" bestFit="1" customWidth="1"/>
    <col min="7" max="7" width="15.140625" bestFit="1" customWidth="1"/>
    <col min="8" max="8" width="19.85546875" bestFit="1" customWidth="1"/>
    <col min="9" max="9" width="15.140625" bestFit="1" customWidth="1"/>
    <col min="10" max="10" width="18.5703125" bestFit="1" customWidth="1"/>
    <col min="11" max="11" width="15.140625" bestFit="1" customWidth="1"/>
    <col min="12" max="12" width="20.7109375" bestFit="1" customWidth="1"/>
    <col min="13" max="13" width="15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5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5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145</v>
      </c>
      <c r="B7" s="9" t="s">
        <v>109</v>
      </c>
      <c r="C7" s="8" t="s">
        <v>29</v>
      </c>
      <c r="D7" s="9" t="s">
        <v>29</v>
      </c>
      <c r="E7" s="9" t="s">
        <v>145</v>
      </c>
      <c r="F7" s="20">
        <v>0</v>
      </c>
      <c r="G7" s="9" t="s">
        <v>145</v>
      </c>
      <c r="H7" s="20"/>
      <c r="I7" s="9" t="s">
        <v>145</v>
      </c>
      <c r="J7" s="20"/>
      <c r="K7" s="9" t="s">
        <v>145</v>
      </c>
      <c r="L7" s="20"/>
      <c r="M7" s="9" t="s">
        <v>145</v>
      </c>
      <c r="N7" s="20"/>
      <c r="O7" t="s">
        <v>145</v>
      </c>
      <c r="P7" t="s">
        <v>145</v>
      </c>
      <c r="Q7" t="s">
        <v>145</v>
      </c>
      <c r="R7" t="s">
        <v>145</v>
      </c>
      <c r="S7" s="9" t="s">
        <v>145</v>
      </c>
      <c r="T7" s="20"/>
      <c r="U7" s="20"/>
      <c r="V7" s="20"/>
      <c r="W7" s="20"/>
      <c r="X7" s="20"/>
      <c r="AA7" s="9" t="s">
        <v>145</v>
      </c>
      <c r="AB7" s="20"/>
      <c r="AD7" s="10">
        <v>2015</v>
      </c>
      <c r="AE7" s="10">
        <v>2025</v>
      </c>
      <c r="AF7">
        <v>2015</v>
      </c>
      <c r="AI7" s="10">
        <v>2035</v>
      </c>
      <c r="AM7" t="s">
        <v>14</v>
      </c>
    </row>
    <row r="8" spans="1:39">
      <c r="A8" s="9" t="s">
        <v>107</v>
      </c>
      <c r="B8" s="9" t="s">
        <v>145</v>
      </c>
      <c r="C8" s="9" t="s">
        <v>30</v>
      </c>
      <c r="D8" s="9" t="s">
        <v>145</v>
      </c>
      <c r="E8" s="9" t="s">
        <v>107</v>
      </c>
      <c r="F8" s="20">
        <v>0</v>
      </c>
      <c r="G8" s="9" t="s">
        <v>107</v>
      </c>
      <c r="H8" s="20">
        <v>1</v>
      </c>
      <c r="I8" s="9" t="s">
        <v>107</v>
      </c>
      <c r="J8" s="20">
        <v>1</v>
      </c>
      <c r="K8" s="9" t="s">
        <v>107</v>
      </c>
      <c r="L8" s="20">
        <v>0</v>
      </c>
      <c r="M8" s="9" t="s">
        <v>107</v>
      </c>
      <c r="N8" s="20">
        <v>0</v>
      </c>
      <c r="O8" t="s">
        <v>107</v>
      </c>
      <c r="P8" t="s">
        <v>109</v>
      </c>
      <c r="Q8" t="s">
        <v>107</v>
      </c>
      <c r="R8" t="s">
        <v>29</v>
      </c>
      <c r="S8" s="9" t="s">
        <v>107</v>
      </c>
      <c r="T8" s="20">
        <v>-1</v>
      </c>
      <c r="U8" s="20">
        <v>-1</v>
      </c>
      <c r="V8" s="20">
        <v>-1</v>
      </c>
      <c r="W8" s="20">
        <v>1</v>
      </c>
      <c r="X8" s="20">
        <v>-1</v>
      </c>
      <c r="AA8" s="9" t="s">
        <v>107</v>
      </c>
      <c r="AB8" s="20">
        <v>100</v>
      </c>
      <c r="AD8" s="10">
        <v>2016</v>
      </c>
      <c r="AE8" s="10">
        <v>2035</v>
      </c>
      <c r="AF8">
        <v>2016</v>
      </c>
      <c r="AI8" s="10">
        <v>2050</v>
      </c>
      <c r="AM8" t="s">
        <v>15</v>
      </c>
    </row>
    <row r="9" spans="1:39">
      <c r="A9" s="9" t="s">
        <v>143</v>
      </c>
      <c r="B9" s="9" t="s">
        <v>141</v>
      </c>
      <c r="C9" s="9" t="s">
        <v>31</v>
      </c>
      <c r="E9" s="9" t="s">
        <v>143</v>
      </c>
      <c r="F9" s="20">
        <v>0</v>
      </c>
      <c r="G9" s="9" t="s">
        <v>143</v>
      </c>
      <c r="H9" s="20">
        <v>1</v>
      </c>
      <c r="I9" s="9" t="s">
        <v>143</v>
      </c>
      <c r="J9" s="20">
        <v>1</v>
      </c>
      <c r="K9" s="9" t="s">
        <v>143</v>
      </c>
      <c r="L9" s="20">
        <v>0</v>
      </c>
      <c r="M9" s="9" t="s">
        <v>143</v>
      </c>
      <c r="N9" s="20">
        <v>0</v>
      </c>
      <c r="O9" t="s">
        <v>143</v>
      </c>
      <c r="P9" t="s">
        <v>141</v>
      </c>
      <c r="Q9" t="s">
        <v>143</v>
      </c>
      <c r="R9" t="s">
        <v>29</v>
      </c>
      <c r="S9" s="9" t="s">
        <v>143</v>
      </c>
      <c r="T9" s="20">
        <v>-1</v>
      </c>
      <c r="U9" s="20">
        <v>-1</v>
      </c>
      <c r="V9" s="20">
        <v>-1</v>
      </c>
      <c r="W9" s="20">
        <v>1</v>
      </c>
      <c r="X9" s="20">
        <v>-1</v>
      </c>
      <c r="AA9" s="9" t="s">
        <v>143</v>
      </c>
      <c r="AB9" s="20">
        <v>100</v>
      </c>
      <c r="AD9" s="10">
        <v>2017</v>
      </c>
      <c r="AE9" s="10">
        <v>2050</v>
      </c>
      <c r="AF9">
        <v>2017</v>
      </c>
      <c r="AM9" t="s">
        <v>16</v>
      </c>
    </row>
    <row r="10" spans="1:39">
      <c r="A10" s="9" t="s">
        <v>144</v>
      </c>
      <c r="B10" s="9" t="s">
        <v>142</v>
      </c>
      <c r="C10" s="9" t="s">
        <v>44</v>
      </c>
      <c r="E10" s="9" t="s">
        <v>144</v>
      </c>
      <c r="F10" s="20">
        <v>1</v>
      </c>
      <c r="G10" s="9" t="s">
        <v>144</v>
      </c>
      <c r="H10" s="20">
        <v>1</v>
      </c>
      <c r="I10" s="9" t="s">
        <v>144</v>
      </c>
      <c r="J10" s="20">
        <v>1</v>
      </c>
      <c r="K10" s="9" t="s">
        <v>144</v>
      </c>
      <c r="L10" s="20">
        <v>0</v>
      </c>
      <c r="M10" s="9" t="s">
        <v>144</v>
      </c>
      <c r="N10" s="20">
        <v>0</v>
      </c>
      <c r="O10" t="s">
        <v>144</v>
      </c>
      <c r="P10" t="s">
        <v>142</v>
      </c>
      <c r="Q10" t="s">
        <v>144</v>
      </c>
      <c r="R10" t="s">
        <v>29</v>
      </c>
      <c r="S10" s="9" t="s">
        <v>144</v>
      </c>
      <c r="T10" s="20">
        <v>-1</v>
      </c>
      <c r="U10" s="20">
        <v>-1</v>
      </c>
      <c r="V10" s="20">
        <v>-1</v>
      </c>
      <c r="W10" s="20">
        <v>1</v>
      </c>
      <c r="X10" s="20">
        <v>-1</v>
      </c>
      <c r="AA10" s="9" t="s">
        <v>144</v>
      </c>
      <c r="AB10" s="20">
        <v>100</v>
      </c>
      <c r="AD10" s="10">
        <v>2018</v>
      </c>
      <c r="AE10" s="10" t="str">
        <f>IF(OR(AI8=2050,AI8=""),"",AI8+1)</f>
        <v/>
      </c>
      <c r="AF10">
        <v>2018</v>
      </c>
      <c r="AM10" t="s">
        <v>17</v>
      </c>
    </row>
    <row r="11" spans="1:39">
      <c r="C11" s="9" t="s">
        <v>45</v>
      </c>
      <c r="AD11" s="10">
        <v>2019</v>
      </c>
      <c r="AE11" s="10" t="str">
        <f t="shared" ref="AE11:AE13" si="0">IF(OR(AE10=2050,AE10=""),"",AE10+1)</f>
        <v/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E12" s="10" t="str">
        <f t="shared" si="0"/>
        <v/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E13" s="10" t="str">
        <f t="shared" si="0"/>
        <v/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7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4" sqref="F14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SUM(AY10:AY43)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0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>
        <v>1</v>
      </c>
      <c r="B11" t="s">
        <v>144</v>
      </c>
      <c r="C11" t="s">
        <v>77</v>
      </c>
      <c r="D11" t="s">
        <v>29</v>
      </c>
      <c r="E11" t="s">
        <v>142</v>
      </c>
      <c r="F11">
        <v>1</v>
      </c>
      <c r="G11">
        <v>1</v>
      </c>
      <c r="H11" t="s">
        <v>72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  <c r="AZ11">
        <v>1</v>
      </c>
      <c r="BA11">
        <v>1</v>
      </c>
      <c r="BB11">
        <v>1</v>
      </c>
      <c r="BD11">
        <v>1</v>
      </c>
      <c r="BE11">
        <v>1</v>
      </c>
      <c r="BH11">
        <v>1</v>
      </c>
    </row>
    <row r="12" spans="1:60">
      <c r="A12" s="17">
        <v>0</v>
      </c>
      <c r="B12" t="s">
        <v>143</v>
      </c>
      <c r="C12" t="s">
        <v>77</v>
      </c>
      <c r="D12" t="s">
        <v>29</v>
      </c>
      <c r="E12" t="s">
        <v>141</v>
      </c>
      <c r="F12">
        <v>1</v>
      </c>
      <c r="G12">
        <v>1</v>
      </c>
      <c r="H12" t="s">
        <v>72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-1</v>
      </c>
      <c r="P12">
        <v>100</v>
      </c>
      <c r="AY12">
        <v>0</v>
      </c>
      <c r="AZ12">
        <v>1</v>
      </c>
      <c r="BA12">
        <v>1</v>
      </c>
      <c r="BB12">
        <v>1</v>
      </c>
      <c r="BD12">
        <v>1</v>
      </c>
      <c r="BE12">
        <v>1</v>
      </c>
      <c r="BH12">
        <v>1</v>
      </c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>
      <c r="A18" s="17"/>
    </row>
    <row r="19" spans="1:1" ht="14.25" customHeight="1">
      <c r="A19" s="17"/>
    </row>
    <row r="20" spans="1:1" ht="16.5" customHeight="1">
      <c r="A20" s="17"/>
    </row>
    <row r="21" spans="1:1" ht="17.25" customHeight="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  <row r="57" spans="1:1">
      <c r="A57" s="17"/>
    </row>
  </sheetData>
  <autoFilter ref="A9:BH43" xr:uid="{00000000-0001-0000-0E00-000000000000}"/>
  <sortState xmlns:xlrd2="http://schemas.microsoft.com/office/spreadsheetml/2017/richdata2" ref="A10:BH43">
    <sortCondition ref="B10:B43"/>
  </sortState>
  <mergeCells count="1">
    <mergeCell ref="R6:AE6"/>
  </mergeCells>
  <phoneticPr fontId="34" type="noConversion"/>
  <conditionalFormatting sqref="A44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9 A42">
    <cfRule type="iconSet" priority="44">
      <iconSet>
        <cfvo type="percent" val="0"/>
        <cfvo type="percent" val="33"/>
        <cfvo type="percent" val="67"/>
      </iconSet>
    </cfRule>
  </conditionalFormatting>
  <conditionalFormatting sqref="A40 A43">
    <cfRule type="iconSet" priority="38">
      <iconSet>
        <cfvo type="percent" val="0"/>
        <cfvo type="percent" val="33"/>
        <cfvo type="percent" val="67"/>
      </iconSet>
    </cfRule>
  </conditionalFormatting>
  <conditionalFormatting sqref="A39:A43">
    <cfRule type="iconSet" priority="32">
      <iconSet>
        <cfvo type="percent" val="0"/>
        <cfvo type="percent" val="33"/>
        <cfvo type="percent" val="67"/>
      </iconSet>
    </cfRule>
  </conditionalFormatting>
  <conditionalFormatting sqref="A39:A43">
    <cfRule type="iconSet" priority="31">
      <iconSet>
        <cfvo type="percent" val="0"/>
        <cfvo type="percent" val="33"/>
        <cfvo type="percent" val="67"/>
      </iconSet>
    </cfRule>
  </conditionalFormatting>
  <conditionalFormatting sqref="A39:A43">
    <cfRule type="iconSet" priority="30">
      <iconSet>
        <cfvo type="percent" val="0"/>
        <cfvo type="percent" val="33"/>
        <cfvo type="percent" val="67"/>
      </iconSet>
    </cfRule>
  </conditionalFormatting>
  <conditionalFormatting sqref="A39:A43">
    <cfRule type="iconSet" priority="29">
      <iconSet>
        <cfvo type="percent" val="0"/>
        <cfvo type="percent" val="33"/>
        <cfvo type="percent" val="67"/>
      </iconSet>
    </cfRule>
  </conditionalFormatting>
  <conditionalFormatting sqref="A39:A43">
    <cfRule type="iconSet" priority="28">
      <iconSet>
        <cfvo type="percent" val="0"/>
        <cfvo type="percent" val="33"/>
        <cfvo type="percent" val="67"/>
      </iconSet>
    </cfRule>
  </conditionalFormatting>
  <conditionalFormatting sqref="A39:A43">
    <cfRule type="iconSet" priority="33">
      <iconSet>
        <cfvo type="percent" val="0"/>
        <cfvo type="percent" val="33"/>
        <cfvo type="percent" val="67"/>
      </iconSet>
    </cfRule>
  </conditionalFormatting>
  <conditionalFormatting sqref="A10:A57">
    <cfRule type="iconSet" priority="895">
      <iconSet>
        <cfvo type="percent" val="0"/>
        <cfvo type="percent" val="33"/>
        <cfvo type="percent" val="67"/>
      </iconSet>
    </cfRule>
  </conditionalFormatting>
  <conditionalFormatting sqref="A13:A43">
    <cfRule type="iconSet" priority="897">
      <iconSet>
        <cfvo type="percent" val="0"/>
        <cfvo type="percent" val="33"/>
        <cfvo type="percent" val="67"/>
      </iconSet>
    </cfRule>
  </conditionalFormatting>
  <conditionalFormatting sqref="A10:A43">
    <cfRule type="iconSet" priority="898">
      <iconSet>
        <cfvo type="percent" val="0"/>
        <cfvo type="percent" val="33"/>
        <cfvo type="percent" val="67"/>
      </iconSet>
    </cfRule>
  </conditionalFormatting>
  <conditionalFormatting sqref="A10:A12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2023-02-14T15:04:33Z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