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4766E098-02B8-415D-844B-6A343A107A37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8546" r:id="rId9"/>
    <pivotCache cacheId="854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<sst xmlns="http://schemas.openxmlformats.org/spreadsheetml/2006/main" count="191" uniqueCount="141">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</sst>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09.445004629626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909.445007870374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1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1"/>
    <n v="1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1"/>
    <n v="1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8549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8546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854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55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60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127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57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84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85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56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52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53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106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88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42"/>
  <sheetViews>
    <sheetView workbookViewId="0">
      <selection activeCell="Y1" sqref="Y1:Z1048576"/>
    </sheetView>
  </sheetViews>
  <sheetFormatPr defaultRowHeight="15"/>
  <cols>
    <col min="1" max="2" width="13.140625" bestFit="1" customWidth="1"/>
    <col min="3" max="3" width="13.140625" customWidth="1"/>
    <col min="4" max="5" width="13.140625" bestFit="1" customWidth="1"/>
    <col min="6" max="6" width="23" bestFit="1" customWidth="1"/>
    <col min="7" max="7" width="13.140625" bestFit="1" customWidth="1"/>
    <col min="8" max="8" width="19.85546875" bestFit="1" customWidth="1"/>
    <col min="9" max="9" width="13.140625" bestFit="1" customWidth="1"/>
    <col min="10" max="10" width="18.5703125" bestFit="1" customWidth="1"/>
    <col min="11" max="11" width="13.140625" bestFit="1" customWidth="1"/>
    <col min="12" max="12" width="20.7109375" bestFit="1" customWidth="1"/>
    <col min="13" max="13" width="13.140625" bestFit="1" customWidth="1"/>
    <col min="14" max="14" width="21" bestFit="1" customWidth="1"/>
    <col min="15" max="15" width="16.7109375" bestFit="1" customWidth="1"/>
    <col min="16" max="16" width="20.85546875" bestFit="1" customWidth="1"/>
    <col min="17" max="17" width="16.7109375" bestFit="1" customWidth="1"/>
    <col min="18" max="18" width="18" bestFit="1" customWidth="1"/>
    <col min="19" max="19" width="13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3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8" t="s">
        <v>32</v>
      </c>
      <c r="B6" s="8" t="s">
        <v>32</v>
      </c>
      <c r="D6" s="8" t="s">
        <v>32</v>
      </c>
      <c r="E6" s="8" t="s">
        <v>32</v>
      </c>
      <c r="F6" t="s">
        <v>39</v>
      </c>
      <c r="G6" s="8" t="s">
        <v>32</v>
      </c>
      <c r="H6" t="s">
        <v>42</v>
      </c>
      <c r="I6" s="8" t="s">
        <v>32</v>
      </c>
      <c r="J6" t="s">
        <v>41</v>
      </c>
      <c r="K6" s="8" t="s">
        <v>32</v>
      </c>
      <c r="L6" t="s">
        <v>82</v>
      </c>
      <c r="M6" s="8" t="s">
        <v>32</v>
      </c>
      <c r="N6" t="s">
        <v>83</v>
      </c>
      <c r="O6" s="8" t="s">
        <v>34</v>
      </c>
      <c r="P6" s="8" t="s">
        <v>131</v>
      </c>
      <c r="Q6" s="8" t="s">
        <v>34</v>
      </c>
      <c r="R6" s="8" t="s">
        <v>28</v>
      </c>
      <c r="S6" s="8" t="s">
        <v>32</v>
      </c>
      <c r="T6" t="s">
        <v>68</v>
      </c>
      <c r="U6" t="s">
        <v>69</v>
      </c>
      <c r="V6" t="s">
        <v>70</v>
      </c>
      <c r="W6" t="s">
        <v>71</v>
      </c>
      <c r="X6" t="s">
        <v>37</v>
      </c>
      <c r="AA6" s="8" t="s">
        <v>32</v>
      </c>
      <c r="AB6" t="s">
        <v>87</v>
      </c>
      <c r="AC6" s="8"/>
      <c r="AD6" s="12" t="s">
        <v>52</v>
      </c>
      <c r="AE6" s="12" t="s">
        <v>53</v>
      </c>
      <c r="AF6" t="s">
        <v>106</v>
      </c>
    </row>
    <row r="7" spans="1:39">
      <c r="A7" s="9" t="s">
        <v>107</v>
      </c>
      <c r="B7" s="9" t="s">
        <v>109</v>
      </c>
      <c r="C7" s="8" t="s">
        <v>29</v>
      </c>
      <c r="D7" s="9" t="s">
        <v>29</v>
      </c>
      <c r="E7" s="9" t="s">
        <v>107</v>
      </c>
      <c r="F7" s="20">
        <v>1</v>
      </c>
      <c r="G7" s="9" t="s">
        <v>107</v>
      </c>
      <c r="H7" s="20">
        <v>1</v>
      </c>
      <c r="I7" s="9" t="s">
        <v>107</v>
      </c>
      <c r="J7" s="20">
        <v>1</v>
      </c>
      <c r="K7" s="9" t="s">
        <v>107</v>
      </c>
      <c r="L7" s="20">
        <v>0</v>
      </c>
      <c r="M7" s="9" t="s">
        <v>107</v>
      </c>
      <c r="N7" s="20">
        <v>0</v>
      </c>
      <c r="O7" t="s">
        <v>107</v>
      </c>
      <c r="P7" t="s">
        <v>109</v>
      </c>
      <c r="Q7" t="s">
        <v>107</v>
      </c>
      <c r="R7" t="s">
        <v>29</v>
      </c>
      <c r="S7" s="9" t="s">
        <v>107</v>
      </c>
      <c r="T7" s="20">
        <v>-1</v>
      </c>
      <c r="U7" s="20">
        <v>-1</v>
      </c>
      <c r="V7" s="20">
        <v>-1</v>
      </c>
      <c r="W7" s="20">
        <v>1</v>
      </c>
      <c r="X7" s="20">
        <v>-1</v>
      </c>
      <c r="AA7" s="9" t="s">
        <v>107</v>
      </c>
      <c r="AB7" s="20">
        <v>100</v>
      </c>
      <c r="AD7" s="10">
        <v>2015</v>
      </c>
      <c r="AE7" s="10">
        <f>2051-Scenarios!G6</f>
        <v>2050</v>
      </c>
      <c r="AF7">
        <v>2015</v>
      </c>
      <c r="AM7" t="s">
        <v>14</v>
      </c>
    </row>
    <row r="8" spans="1:39">
      <c r="C8" s="9" t="s">
        <v>30</v>
      </c>
      <c r="AD8" s="10">
        <v>2016</v>
      </c>
      <c r="AE8" s="10" t="str">
        <f>IF(OR(AE7=2050,AE7=""),"",AE7+1)</f>
        <v/>
      </c>
      <c r="AF8">
        <v>2016</v>
      </c>
      <c r="AM8" t="s">
        <v>15</v>
      </c>
    </row>
    <row r="9" spans="1:39">
      <c r="C9" s="9" t="s">
        <v>31</v>
      </c>
      <c r="AD9" s="10">
        <v>2017</v>
      </c>
      <c r="AE9" s="10" t="str">
        <f>IF(OR(AE8=2050,AE8=""),"",AE8+1)</f>
        <v/>
      </c>
      <c r="AF9">
        <v>2017</v>
      </c>
      <c r="AM9" t="s">
        <v>16</v>
      </c>
    </row>
    <row r="10" spans="1:39">
      <c r="C10" s="9" t="s">
        <v>44</v>
      </c>
      <c r="AD10" s="10">
        <v>2018</v>
      </c>
      <c r="AE10" s="10" t="str">
        <f t="shared" ref="AE10:AE13" si="0">IF(OR(AE9=2050,AE9=""),"",AE9+1)</f>
        <v/>
      </c>
      <c r="AF10">
        <v>2018</v>
      </c>
      <c r="AM10" t="s">
        <v>17</v>
      </c>
    </row>
    <row r="11" spans="1:39">
      <c r="C11" s="9" t="s">
        <v>45</v>
      </c>
      <c r="AD11" s="10">
        <v>2019</v>
      </c>
      <c r="AE11" s="10" t="str">
        <f t="shared" si="0"/>
        <v/>
      </c>
      <c r="AF11">
        <v>2019</v>
      </c>
      <c r="AM11" t="s">
        <v>18</v>
      </c>
    </row>
    <row r="12" spans="1:39">
      <c r="C12" s="9" t="s">
        <v>46</v>
      </c>
      <c r="D12" s="9"/>
      <c r="AD12" s="10">
        <v>2020</v>
      </c>
      <c r="AE12" s="10" t="str">
        <f t="shared" si="0"/>
        <v/>
      </c>
      <c r="AF12">
        <v>2020</v>
      </c>
      <c r="AM12" t="s">
        <v>19</v>
      </c>
    </row>
    <row r="13" spans="1:39">
      <c r="C13" s="9" t="s">
        <v>47</v>
      </c>
      <c r="D13" s="9"/>
      <c r="AD13" s="10">
        <v>2021</v>
      </c>
      <c r="AE13" s="10" t="str">
        <f t="shared" si="0"/>
        <v/>
      </c>
      <c r="AF13">
        <v>2021</v>
      </c>
      <c r="AM13" t="s">
        <v>20</v>
      </c>
    </row>
    <row r="14" spans="1:39">
      <c r="C14" s="9" t="s">
        <v>48</v>
      </c>
      <c r="D14" s="9"/>
      <c r="AD14" s="10">
        <v>2022</v>
      </c>
      <c r="AF14">
        <v>2022</v>
      </c>
      <c r="AM14" t="s">
        <v>21</v>
      </c>
    </row>
    <row r="15" spans="1:39">
      <c r="C15" s="9" t="s">
        <v>49</v>
      </c>
      <c r="D15" s="9"/>
      <c r="AD15" s="10">
        <v>2023</v>
      </c>
      <c r="AF15">
        <v>2023</v>
      </c>
      <c r="AM15" t="s">
        <v>22</v>
      </c>
    </row>
    <row r="16" spans="1:39">
      <c r="C16" s="9" t="s">
        <v>50</v>
      </c>
      <c r="D16" s="9"/>
      <c r="AD16" s="10">
        <v>2024</v>
      </c>
      <c r="AF16">
        <v>2024</v>
      </c>
      <c r="AM16" t="s">
        <v>5</v>
      </c>
    </row>
    <row r="17" spans="30:39">
      <c r="AD17" s="10">
        <v>2025</v>
      </c>
      <c r="AF17">
        <v>2025</v>
      </c>
      <c r="AM17" t="s">
        <v>23</v>
      </c>
    </row>
    <row r="18" spans="30:39">
      <c r="AD18" s="10">
        <v>2026</v>
      </c>
      <c r="AF18">
        <v>2026</v>
      </c>
      <c r="AM18" t="s">
        <v>25</v>
      </c>
    </row>
    <row r="19" spans="30:39">
      <c r="AD19" s="10">
        <v>2027</v>
      </c>
      <c r="AF19">
        <v>2027</v>
      </c>
      <c r="AM19" t="s">
        <v>24</v>
      </c>
    </row>
    <row r="20" spans="30:39">
      <c r="AD20" s="10">
        <v>2028</v>
      </c>
      <c r="AF20">
        <v>2028</v>
      </c>
      <c r="AM20" t="s">
        <v>11</v>
      </c>
    </row>
    <row r="21" spans="30:39">
      <c r="AD21" s="10">
        <v>2029</v>
      </c>
      <c r="AF21">
        <v>2029</v>
      </c>
      <c r="AM21" t="s">
        <v>11</v>
      </c>
    </row>
    <row r="22" spans="30:39">
      <c r="AD22" s="10">
        <v>2030</v>
      </c>
      <c r="AF22">
        <v>2030</v>
      </c>
      <c r="AM22" t="s">
        <v>11</v>
      </c>
    </row>
    <row r="23" spans="30:39">
      <c r="AD23" s="10">
        <v>2031</v>
      </c>
      <c r="AF23">
        <v>2031</v>
      </c>
      <c r="AM23" t="s">
        <v>11</v>
      </c>
    </row>
    <row r="24" spans="30:39">
      <c r="AD24" s="10">
        <v>2032</v>
      </c>
      <c r="AF24">
        <v>2032</v>
      </c>
    </row>
    <row r="25" spans="30:39">
      <c r="AD25" s="10">
        <v>2033</v>
      </c>
      <c r="AF25">
        <v>2033</v>
      </c>
    </row>
    <row r="26" spans="30:39">
      <c r="AD26" s="10">
        <v>2034</v>
      </c>
      <c r="AF26">
        <v>2034</v>
      </c>
    </row>
    <row r="27" spans="30:39">
      <c r="AD27" s="10">
        <v>2035</v>
      </c>
      <c r="AF27">
        <v>2035</v>
      </c>
    </row>
    <row r="28" spans="30:39">
      <c r="AD28" s="10">
        <v>2036</v>
      </c>
      <c r="AF28">
        <v>2036</v>
      </c>
    </row>
    <row r="29" spans="30:39">
      <c r="AD29" s="10">
        <v>2037</v>
      </c>
      <c r="AF29">
        <v>2037</v>
      </c>
    </row>
    <row r="30" spans="30:39">
      <c r="AD30" s="10">
        <v>2038</v>
      </c>
      <c r="AF30">
        <v>2038</v>
      </c>
    </row>
    <row r="31" spans="30:39">
      <c r="AD31" s="10">
        <v>2039</v>
      </c>
      <c r="AF31">
        <v>2039</v>
      </c>
    </row>
    <row r="32" spans="30:39">
      <c r="AD32" s="10">
        <v>2040</v>
      </c>
      <c r="AF32">
        <v>2040</v>
      </c>
    </row>
    <row r="33" spans="30:32">
      <c r="AD33" s="10">
        <v>2041</v>
      </c>
      <c r="AF33">
        <v>2041</v>
      </c>
    </row>
    <row r="34" spans="30:32">
      <c r="AD34" s="10">
        <v>2042</v>
      </c>
      <c r="AF34">
        <v>2042</v>
      </c>
    </row>
    <row r="35" spans="30:32">
      <c r="AD35" s="10">
        <v>2043</v>
      </c>
      <c r="AF35">
        <v>2043</v>
      </c>
    </row>
    <row r="36" spans="30:32">
      <c r="AD36" s="10">
        <v>2044</v>
      </c>
      <c r="AF36">
        <v>2044</v>
      </c>
    </row>
    <row r="37" spans="30:32">
      <c r="AD37" s="10">
        <v>2045</v>
      </c>
      <c r="AF37">
        <v>2045</v>
      </c>
    </row>
    <row r="38" spans="30:32">
      <c r="AD38" s="10">
        <v>2046</v>
      </c>
      <c r="AF38">
        <v>2046</v>
      </c>
    </row>
    <row r="39" spans="30:32">
      <c r="AD39" s="10">
        <v>2047</v>
      </c>
      <c r="AF39">
        <v>2047</v>
      </c>
    </row>
    <row r="40" spans="30:32">
      <c r="AD40" s="10">
        <v>2048</v>
      </c>
      <c r="AF40">
        <v>2048</v>
      </c>
    </row>
    <row r="41" spans="30:32">
      <c r="AD41" s="10">
        <v>2049</v>
      </c>
      <c r="AF41">
        <v>2049</v>
      </c>
    </row>
    <row r="42" spans="30:32">
      <c r="AD42" s="10">
        <v>2050</v>
      </c>
      <c r="AF42">
        <v>2050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F11" sqref="F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t="s">
        <v>79</v>
      </c>
      <c r="B1" t="str" cm="1">
        <f t="array" aca="1" ref="B1" ca="1">LEFT(CELL("filename",A1),FIND("[",CELL("filename",A1))-1)</f>
        <v>C:\Models\GHATIMGE\</v>
      </c>
      <c r="J1" s="14" t="s">
        <v>72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60">
      <c r="J2" s="14" t="s">
        <v>73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60">
      <c r="J3" s="14" t="s">
        <v>74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60">
      <c r="J4" s="14" t="s">
        <v>75</v>
      </c>
      <c r="K4">
        <v>1</v>
      </c>
      <c r="L4">
        <v>1</v>
      </c>
      <c r="M4">
        <v>3</v>
      </c>
      <c r="N4">
        <v>3</v>
      </c>
      <c r="O4">
        <v>3</v>
      </c>
      <c r="T4" t="e">
        <f>RIGHT(#REF!,1)</f>
        <v>#REF!</v>
      </c>
      <c r="U4">
        <v>4.4793989999999999</v>
      </c>
    </row>
    <row r="5" spans="1:60" ht="45">
      <c r="A5" t="s">
        <v>97</v>
      </c>
      <c r="G5" s="6" t="s">
        <v>58</v>
      </c>
      <c r="H5" s="7"/>
      <c r="I5" s="7"/>
      <c r="J5" s="14" t="s">
        <v>102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105</v>
      </c>
      <c r="U5">
        <v>100</v>
      </c>
      <c r="AZ5" t="s">
        <v>89</v>
      </c>
    </row>
    <row r="6" spans="1:60">
      <c r="A6" s="4">
        <f>SUM(A10:A63)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103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Y6">
        <f>SUM(AY10:AY42)</f>
        <v>0</v>
      </c>
    </row>
    <row r="7" spans="1:60">
      <c r="A7" s="4"/>
      <c r="B7" s="13"/>
      <c r="D7" s="7"/>
      <c r="E7" s="3"/>
      <c r="F7" s="3"/>
      <c r="H7" s="3"/>
      <c r="I7" s="3"/>
      <c r="J7" s="14" t="s">
        <v>104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60">
      <c r="A8" s="4"/>
      <c r="B8" s="13"/>
      <c r="D8" s="7"/>
      <c r="E8" s="3"/>
      <c r="F8" s="3"/>
      <c r="H8" s="3"/>
      <c r="I8" s="3"/>
      <c r="J8" s="14" t="s">
        <v>101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60" ht="45">
      <c r="A9" s="5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6" t="s">
        <v>13</v>
      </c>
      <c r="H9" s="6" t="s">
        <v>76</v>
      </c>
      <c r="I9" s="6" t="s">
        <v>35</v>
      </c>
      <c r="J9" s="6" t="s">
        <v>36</v>
      </c>
      <c r="K9" s="6" t="s">
        <v>63</v>
      </c>
      <c r="L9" s="6" t="s">
        <v>64</v>
      </c>
      <c r="M9" s="6" t="s">
        <v>65</v>
      </c>
      <c r="N9" s="6" t="s">
        <v>67</v>
      </c>
      <c r="O9" s="6" t="s">
        <v>66</v>
      </c>
      <c r="P9" s="6" t="s">
        <v>12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>
      <c r="A10" s="17">
        <v>1</v>
      </c>
      <c r="B10" t="s">
        <v>107</v>
      </c>
      <c r="C10" t="s">
        <v>77</v>
      </c>
      <c r="D10" t="s">
        <v>29</v>
      </c>
      <c r="E10" t="s">
        <v>109</v>
      </c>
      <c r="F10">
        <v>1</v>
      </c>
      <c r="G10">
        <v>1</v>
      </c>
      <c r="H10" t="s">
        <v>72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  <c r="AZ10">
        <v>1</v>
      </c>
      <c r="BA10">
        <v>1</v>
      </c>
      <c r="BB10">
        <v>1</v>
      </c>
      <c r="BD10">
        <v>1</v>
      </c>
      <c r="BE10">
        <v>1</v>
      </c>
      <c r="BH10">
        <v>1</v>
      </c>
    </row>
    <row r="11" spans="1:60">
      <c r="A11" s="17"/>
    </row>
    <row r="12" spans="1:60">
      <c r="A12" s="17"/>
    </row>
    <row r="13" spans="1:60">
      <c r="A13" s="17"/>
    </row>
    <row r="14" spans="1:60">
      <c r="A14" s="17"/>
    </row>
    <row r="15" spans="1:60">
      <c r="A15" s="17"/>
    </row>
    <row r="16" spans="1:60">
      <c r="A16" s="17"/>
    </row>
    <row r="17" spans="1:1">
      <c r="A17" s="17"/>
    </row>
    <row r="18" spans="1:1" ht="14.25" customHeight="1">
      <c r="A18" s="17"/>
    </row>
    <row r="19" spans="1:1" ht="16.5" customHeight="1">
      <c r="A19" s="17"/>
    </row>
    <row r="20" spans="1:1" ht="17.25" customHeight="1">
      <c r="A20" s="17"/>
    </row>
    <row r="21" spans="1:1">
      <c r="A21" s="17"/>
    </row>
    <row r="22" spans="1:1">
      <c r="A22" s="17"/>
    </row>
    <row r="23" spans="1:1">
      <c r="A23" s="17"/>
    </row>
    <row r="24" spans="1:1">
      <c r="A24" s="17"/>
    </row>
    <row r="25" spans="1:1">
      <c r="A25" s="17"/>
    </row>
    <row r="26" spans="1:1">
      <c r="A26" s="17"/>
    </row>
    <row r="27" spans="1:1">
      <c r="A27" s="17"/>
    </row>
    <row r="28" spans="1:1">
      <c r="A28" s="17"/>
    </row>
    <row r="29" spans="1:1">
      <c r="A29" s="17"/>
    </row>
    <row r="30" spans="1:1">
      <c r="A30" s="17"/>
    </row>
    <row r="31" spans="1:1">
      <c r="A31" s="17"/>
    </row>
    <row r="32" spans="1:1">
      <c r="A32" s="17"/>
    </row>
    <row r="33" spans="1:4">
      <c r="A33" s="17"/>
    </row>
    <row r="34" spans="1:4">
      <c r="A34" s="17"/>
    </row>
    <row r="35" spans="1:4">
      <c r="A35" s="17"/>
    </row>
    <row r="36" spans="1:4">
      <c r="A36" s="17"/>
    </row>
    <row r="37" spans="1:4">
      <c r="A37" s="17"/>
    </row>
    <row r="38" spans="1:4">
      <c r="A38" s="17"/>
    </row>
    <row r="39" spans="1:4">
      <c r="A39" s="17"/>
    </row>
    <row r="40" spans="1:4">
      <c r="A40" s="17"/>
    </row>
    <row r="41" spans="1:4">
      <c r="A41" s="17"/>
    </row>
    <row r="42" spans="1:4">
      <c r="A42" s="17"/>
    </row>
    <row r="43" spans="1:4">
      <c r="A43" s="17"/>
    </row>
    <row r="44" spans="1:4">
      <c r="A44" s="17"/>
    </row>
    <row r="45" spans="1:4">
      <c r="A45" s="17"/>
    </row>
    <row r="46" spans="1:4">
      <c r="A46" s="17"/>
    </row>
    <row r="47" spans="1:4">
      <c r="A47" s="17"/>
    </row>
    <row r="48" spans="1:4">
      <c r="A48" s="17"/>
    </row>
    <row r="49" spans="1:1">
      <c r="A49" s="17"/>
    </row>
    <row r="50" spans="1:1">
      <c r="A50" s="17"/>
    </row>
    <row r="51" spans="1:1">
      <c r="A51" s="17"/>
    </row>
    <row r="52" spans="1:1">
      <c r="A52" s="17"/>
    </row>
    <row r="53" spans="1:1">
      <c r="A53" s="17"/>
    </row>
    <row r="54" spans="1:1">
      <c r="A54" s="17"/>
    </row>
    <row r="55" spans="1:1">
      <c r="A55" s="17"/>
    </row>
    <row r="56" spans="1:1">
      <c r="A56" s="17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customWidth="1"/>
    <col min="5" max="5" width="15.140625" customWidth="1"/>
    <col min="8" max="8" width="56.140625" customWidth="1"/>
    <col min="9" max="9" width="130.28515625" bestFit="1" customWidth="1"/>
  </cols>
  <sheetData>
    <row r="1" spans="3:9">
      <c r="C1" s="2"/>
      <c r="E1" s="2"/>
    </row>
    <row r="2" spans="3:9">
      <c r="C2" s="2"/>
      <c r="E2" t="s">
        <v>121</v>
      </c>
    </row>
    <row r="3" spans="3:9">
      <c r="D3">
        <v>1</v>
      </c>
      <c r="E3" t="s">
        <v>111</v>
      </c>
    </row>
    <row r="4" spans="3:9">
      <c r="D4">
        <v>1</v>
      </c>
      <c r="E4" t="s">
        <v>113</v>
      </c>
      <c r="I4" s="2"/>
    </row>
    <row r="5" spans="3:9">
      <c r="D5">
        <v>1</v>
      </c>
      <c r="E5" t="s">
        <v>134</v>
      </c>
    </row>
    <row r="6" spans="3:9">
      <c r="D6">
        <v>1</v>
      </c>
      <c r="E6" t="s">
        <v>115</v>
      </c>
    </row>
    <row r="7" spans="3:9">
      <c r="D7">
        <v>1</v>
      </c>
      <c r="E7" t="s">
        <v>114</v>
      </c>
    </row>
    <row r="8" spans="3:9">
      <c r="C8" s="2"/>
      <c r="D8">
        <v>1</v>
      </c>
      <c r="E8" t="s">
        <v>116</v>
      </c>
    </row>
    <row r="9" spans="3:9">
      <c r="D9">
        <v>1</v>
      </c>
      <c r="E9" t="s">
        <v>117</v>
      </c>
    </row>
    <row r="10" spans="3:9">
      <c r="C10" s="2"/>
      <c r="D10">
        <v>1</v>
      </c>
      <c r="E10" t="s">
        <v>118</v>
      </c>
    </row>
    <row r="11" spans="3:9">
      <c r="D11">
        <v>1</v>
      </c>
      <c r="E11" t="s">
        <v>119</v>
      </c>
    </row>
    <row r="12" spans="3:9">
      <c r="D12">
        <v>1</v>
      </c>
      <c r="E12" t="s">
        <v>120</v>
      </c>
    </row>
    <row r="13" spans="3:9">
      <c r="C13" s="2"/>
      <c r="D13">
        <v>1</v>
      </c>
      <c r="E13" t="s">
        <v>132</v>
      </c>
    </row>
    <row r="14" spans="3:9">
      <c r="D14">
        <v>1</v>
      </c>
      <c r="E14" t="s">
        <v>133</v>
      </c>
    </row>
    <row r="17" spans="3:9">
      <c r="D17">
        <v>1</v>
      </c>
      <c r="E17" t="s">
        <v>122</v>
      </c>
    </row>
    <row r="18" spans="3:9">
      <c r="E18" t="s">
        <v>112</v>
      </c>
    </row>
    <row r="19" spans="3:9">
      <c r="D19">
        <v>1</v>
      </c>
      <c r="E19" t="s">
        <v>110</v>
      </c>
    </row>
    <row r="20" spans="3:9">
      <c r="D20">
        <v>1</v>
      </c>
      <c r="E20" t="s">
        <v>123</v>
      </c>
    </row>
    <row r="21" spans="3:9">
      <c r="D21">
        <v>1</v>
      </c>
      <c r="E21" t="s">
        <v>124</v>
      </c>
    </row>
    <row r="22" spans="3:9">
      <c r="C22" s="2"/>
      <c r="D22">
        <v>1</v>
      </c>
      <c r="E22" t="s">
        <v>125</v>
      </c>
    </row>
    <row r="23" spans="3:9">
      <c r="C23" s="2"/>
    </row>
    <row r="24" spans="3:9">
      <c r="C24" s="2"/>
      <c r="E24" t="s">
        <v>140</v>
      </c>
    </row>
    <row r="25" spans="3:9">
      <c r="C25" s="2"/>
    </row>
    <row r="27" spans="3:9">
      <c r="E27" t="s">
        <v>135</v>
      </c>
    </row>
    <row r="28" spans="3:9">
      <c r="I28" s="11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5">
      <c r="E34" t="s">
        <v>139</v>
      </c>
    </row>
    <row r="36" spans="3:5">
      <c r="C36" s="2"/>
    </row>
    <row r="41" spans="3:5">
      <c r="C41" s="2"/>
    </row>
    <row r="46" spans="3:5">
      <c r="C46" s="2"/>
    </row>
    <row r="52" spans="3:9">
      <c r="C52" s="2"/>
    </row>
    <row r="53" spans="3:9">
      <c r="I53" s="2"/>
    </row>
    <row r="58" spans="3:9">
      <c r="C58" s="2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2022-12-14T12:38:03Z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