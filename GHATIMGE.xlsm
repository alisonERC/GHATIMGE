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1C8B4FA2-8182-417D-936B-EEC59D4503BB}" xr6:coauthVersionLast="47" xr6:coauthVersionMax="47" xr10:uidLastSave="{00000000-0000-0000-0000-000000000000}"/>
  <bookViews>
    <workbookView xWindow="735" yWindow="420" windowWidth="27720" windowHeight="14715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12" r:id="rId9"/>
    <pivotCache cacheId="31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<sst xmlns="http://schemas.openxmlformats.org/spreadsheetml/2006/main" count="241" uniqueCount="146">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</sst>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3.653879513891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3.653879745369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s v="base"/>
    <s v="BASE"/>
    <n v="1"/>
    <n v="1"/>
    <s v="No Pams"/>
    <n v="0"/>
    <n v="0"/>
    <n v="-1"/>
    <n v="-1"/>
    <n v="-1"/>
    <n v="1"/>
    <n v="-1"/>
    <n v="100"/>
  </r>
  <r>
    <n v="1"/>
    <x v="1"/>
    <s v="yes tested"/>
    <s v="base"/>
    <s v="NDCL2"/>
    <n v="0"/>
    <n v="1"/>
    <s v="No Pams"/>
    <n v="0"/>
    <n v="0"/>
    <n v="-1"/>
    <n v="-1"/>
    <n v="-1"/>
    <n v="1"/>
    <n v="-1"/>
    <n v="100"/>
  </r>
  <r>
    <n v="0"/>
    <x v="2"/>
    <s v="yes tested"/>
    <s v="base"/>
    <s v="NDCL1"/>
    <n v="1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x v="0"/>
    <x v="0"/>
    <n v="1"/>
    <n v="1"/>
    <s v="No Pams"/>
    <n v="0"/>
    <n v="0"/>
    <n v="-1"/>
    <n v="-1"/>
    <n v="-1"/>
    <n v="1"/>
    <n v="-1"/>
    <n v="100"/>
  </r>
  <r>
    <n v="1"/>
    <x v="1"/>
    <s v="yes tested"/>
    <x v="0"/>
    <x v="1"/>
    <n v="0"/>
    <n v="1"/>
    <s v="No Pams"/>
    <n v="0"/>
    <n v="0"/>
    <n v="-1"/>
    <n v="-1"/>
    <n v="-1"/>
    <n v="1"/>
    <n v="-1"/>
    <n v="100"/>
  </r>
  <r>
    <n v="0"/>
    <x v="2"/>
    <s v="yes tested"/>
    <x v="0"/>
    <x v="2"/>
    <n v="1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1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1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abSelected="1" topLeftCell="Q1" workbookViewId="0">
      <selection activeCell="AE7" sqref="AE7"/>
    </sheetView>
  </sheetViews>
  <sheetFormatPr defaultRowHeight="15"/>
  <cols>
    <col min="1" max="1" width="15.140625" bestFit="1" customWidth="1"/>
    <col min="2" max="2" width="13.140625" bestFit="1" customWidth="1"/>
    <col min="3" max="3" width="13.140625" customWidth="1"/>
    <col min="4" max="4" width="13.140625" bestFit="1" customWidth="1"/>
    <col min="5" max="5" width="15.140625" bestFit="1" customWidth="1"/>
    <col min="6" max="6" width="23" bestFit="1" customWidth="1"/>
    <col min="7" max="7" width="15.140625" bestFit="1" customWidth="1"/>
    <col min="8" max="8" width="19.85546875" bestFit="1" customWidth="1"/>
    <col min="9" max="9" width="15.140625" bestFit="1" customWidth="1"/>
    <col min="10" max="10" width="18.5703125" bestFit="1" customWidth="1"/>
    <col min="11" max="11" width="15.140625" bestFit="1" customWidth="1"/>
    <col min="12" max="12" width="20.7109375" bestFit="1" customWidth="1"/>
    <col min="13" max="13" width="15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5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5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2030</v>
      </c>
      <c r="AF7">
        <v>2015</v>
      </c>
      <c r="AI7" s="10">
        <v>2030</v>
      </c>
      <c r="AM7" t="s">
        <v>14</v>
      </c>
    </row>
    <row r="8" spans="1:39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0</v>
      </c>
      <c r="G8" s="9" t="s">
        <v>107</v>
      </c>
      <c r="H8" s="20">
        <v>1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F8">
        <v>2016</v>
      </c>
      <c r="AI8" s="10">
        <v>2035</v>
      </c>
      <c r="AM8" t="s">
        <v>15</v>
      </c>
    </row>
    <row r="9" spans="1:39">
      <c r="A9" s="9" t="s">
        <v>143</v>
      </c>
      <c r="B9" s="9" t="s">
        <v>141</v>
      </c>
      <c r="C9" s="9" t="s">
        <v>31</v>
      </c>
      <c r="E9" s="9" t="s">
        <v>143</v>
      </c>
      <c r="F9" s="20">
        <v>0</v>
      </c>
      <c r="G9" s="9" t="s">
        <v>143</v>
      </c>
      <c r="H9" s="20">
        <v>1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F9">
        <v>2017</v>
      </c>
      <c r="AI9" s="10">
        <v>2040</v>
      </c>
      <c r="AM9" t="s">
        <v>16</v>
      </c>
    </row>
    <row r="10" spans="1:39">
      <c r="A10" s="9" t="s">
        <v>144</v>
      </c>
      <c r="B10" s="9" t="s">
        <v>142</v>
      </c>
      <c r="C10" s="9" t="s">
        <v>44</v>
      </c>
      <c r="E10" s="9" t="s">
        <v>144</v>
      </c>
      <c r="F10" s="20">
        <v>1</v>
      </c>
      <c r="G10" s="9" t="s">
        <v>144</v>
      </c>
      <c r="H10" s="20">
        <v>0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F10">
        <v>2018</v>
      </c>
      <c r="AI10" s="10">
        <v>2050</v>
      </c>
      <c r="AM10" t="s">
        <v>17</v>
      </c>
    </row>
    <row r="11" spans="1:39">
      <c r="C11" s="9" t="s">
        <v>45</v>
      </c>
      <c r="AD11" s="10">
        <v>2019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2020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2021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2" sqref="F12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107</v>
      </c>
      <c r="C10" t="s">
        <v>77</v>
      </c>
      <c r="D10" t="s">
        <v>29</v>
      </c>
      <c r="E10" t="s">
        <v>109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t="s">
        <v>144</v>
      </c>
      <c r="C11" t="s">
        <v>77</v>
      </c>
      <c r="D11" t="s">
        <v>29</v>
      </c>
      <c r="E11" t="s">
        <v>142</v>
      </c>
      <c r="F11">
        <v>0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143</v>
      </c>
      <c r="C12" t="s">
        <v>77</v>
      </c>
      <c r="D12" t="s">
        <v>29</v>
      </c>
      <c r="E12" t="s">
        <v>141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2023-02-16T13:57:42Z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