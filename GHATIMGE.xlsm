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4EC03E18-CE1A-44C5-A19A-44903F2E0996}" xr6:coauthVersionLast="47" xr6:coauthVersionMax="47" xr10:uidLastSave="{00000000-0000-0000-0000-000000000000}"/>
  <bookViews>
    <workbookView xWindow="-120" yWindow="-120" windowWidth="29040" windowHeight="1584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2" r:id="rId9"/>
    <pivotCache cacheId="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10" i="5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<sst xmlns="http://schemas.openxmlformats.org/spreadsheetml/2006/main" count="241" uniqueCount="146">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</sst>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0.411705092592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0.411705324077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s v="base"/>
    <s v="BASE"/>
    <n v="1"/>
    <n v="1"/>
    <s v="No Pams"/>
    <n v="0"/>
    <n v="0"/>
    <n v="-1"/>
    <n v="-1"/>
    <n v="-1"/>
    <n v="1"/>
    <n v="-1"/>
    <n v="100"/>
  </r>
  <r>
    <n v="0"/>
    <x v="1"/>
    <s v="yes tested"/>
    <s v="base"/>
    <s v="NDCL2"/>
    <n v="1"/>
    <n v="1"/>
    <s v="No Pams"/>
    <n v="0"/>
    <n v="0"/>
    <n v="-1"/>
    <n v="-1"/>
    <n v="-1"/>
    <n v="1"/>
    <n v="-1"/>
    <n v="100"/>
  </r>
  <r>
    <n v="1"/>
    <x v="2"/>
    <s v="yes tested"/>
    <s v="base"/>
    <s v="NDCL1"/>
    <n v="0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0"/>
    <x v="1"/>
    <s v="yes tested"/>
    <x v="0"/>
    <x v="1"/>
    <n v="1"/>
    <n v="1"/>
    <s v="No Pams"/>
    <n v="0"/>
    <n v="0"/>
    <n v="-1"/>
    <n v="-1"/>
    <n v="-1"/>
    <n v="1"/>
    <n v="-1"/>
    <n v="100"/>
  </r>
  <r>
    <n v="1"/>
    <x v="2"/>
    <s v="yes tested"/>
    <x v="0"/>
    <x v="2"/>
    <n v="0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abSelected="1" topLeftCell="Q1" workbookViewId="0">
      <selection activeCell="AE8" sqref="AE8:AE9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2030</v>
      </c>
      <c r="AF7">
        <v>2015</v>
      </c>
      <c r="AM7" t="s">
        <v>14</v>
      </c>
    </row>
    <row r="8" spans="1:39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0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F8">
        <v>2016</v>
      </c>
      <c r="AM8" t="s">
        <v>15</v>
      </c>
    </row>
    <row r="9" spans="1:39">
      <c r="A9" s="9" t="s">
        <v>143</v>
      </c>
      <c r="B9" s="9" t="s">
        <v>141</v>
      </c>
      <c r="C9" s="9" t="s">
        <v>31</v>
      </c>
      <c r="E9" s="9" t="s">
        <v>143</v>
      </c>
      <c r="F9" s="20">
        <v>1</v>
      </c>
      <c r="G9" s="9" t="s">
        <v>143</v>
      </c>
      <c r="H9" s="20">
        <v>0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F9">
        <v>2017</v>
      </c>
      <c r="AM9" t="s">
        <v>16</v>
      </c>
    </row>
    <row r="10" spans="1:39">
      <c r="A10" s="9" t="s">
        <v>144</v>
      </c>
      <c r="B10" s="9" t="s">
        <v>142</v>
      </c>
      <c r="C10" s="9" t="s">
        <v>44</v>
      </c>
      <c r="E10" s="9" t="s">
        <v>144</v>
      </c>
      <c r="F10" s="20">
        <v>0</v>
      </c>
      <c r="G10" s="9" t="s">
        <v>144</v>
      </c>
      <c r="H10" s="20">
        <v>1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E10" s="10" t="str">
        <f t="shared" ref="AE10:AE13" si="0">IF(OR(AE9=2050,AE9=""),"",AE9+1)</f>
        <v/>
      </c>
      <c r="AF10">
        <v>2018</v>
      </c>
      <c r="AM10" t="s">
        <v>17</v>
      </c>
    </row>
    <row r="11" spans="1:39">
      <c r="C11" s="9" t="s">
        <v>45</v>
      </c>
      <c r="AD11" s="10">
        <v>2019</v>
      </c>
      <c r="AE11" s="10" t="str">
        <f t="shared" si="0"/>
        <v/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2020</v>
      </c>
      <c r="AE12" s="10" t="str">
        <f t="shared" si="0"/>
        <v/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E13" s="10" t="str">
        <f t="shared" si="0"/>
        <v/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3" sqref="F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144</v>
      </c>
      <c r="C11" t="s">
        <v>77</v>
      </c>
      <c r="D11" t="s">
        <v>29</v>
      </c>
      <c r="E11" t="s">
        <v>142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143</v>
      </c>
      <c r="C12" t="s">
        <v>77</v>
      </c>
      <c r="D12" t="s">
        <v>29</v>
      </c>
      <c r="E12" t="s">
        <v>141</v>
      </c>
      <c r="F12">
        <v>0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2023-02-13T08:27:37Z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